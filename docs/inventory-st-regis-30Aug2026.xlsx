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rdanqa-my.sharepoint.com/personal/l_vasquez_omansothebysrealty_com/Documents/Desktop/Al Mouj Units Availability/Updated/External Availability/"/>
    </mc:Choice>
  </mc:AlternateContent>
  <xr:revisionPtr revIDLastSave="0" documentId="8_{30381B2A-6F7C-4AB6-BE0D-2B8656538D4A}" xr6:coauthVersionLast="47" xr6:coauthVersionMax="47" xr10:uidLastSave="{00000000-0000-0000-0000-000000000000}"/>
  <bookViews>
    <workbookView xWindow="-120" yWindow="-120" windowWidth="29040" windowHeight="15720" xr2:uid="{DDB42295-90BE-40FA-B272-E5CD0E84D031}"/>
  </bookViews>
  <sheets>
    <sheet name="SR Al Mouj" sheetId="3" r:id="rId1"/>
  </sheets>
  <definedNames>
    <definedName name="_xlnm._FilterDatabase" localSheetId="0" hidden="1">'SR Al Mouj'!$A$2:$P$2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3" l="1"/>
  <c r="N33" i="3" s="1"/>
  <c r="P33" i="3" s="1"/>
  <c r="M6" i="3" l="1"/>
  <c r="N6" i="3" s="1"/>
  <c r="P6" i="3" s="1"/>
  <c r="M38" i="3" l="1"/>
  <c r="N38" i="3" s="1"/>
  <c r="P38" i="3" s="1"/>
  <c r="M37" i="3"/>
  <c r="N37" i="3" s="1"/>
  <c r="P37" i="3" s="1"/>
  <c r="M36" i="3"/>
  <c r="N36" i="3" s="1"/>
  <c r="P36" i="3" s="1"/>
  <c r="M35" i="3"/>
  <c r="N35" i="3" s="1"/>
  <c r="P35" i="3" s="1"/>
  <c r="M34" i="3"/>
  <c r="N34" i="3" s="1"/>
  <c r="P34" i="3" s="1"/>
  <c r="M32" i="3"/>
  <c r="N32" i="3" s="1"/>
  <c r="P32" i="3" s="1"/>
  <c r="M31" i="3"/>
  <c r="N31" i="3" s="1"/>
  <c r="P31" i="3" s="1"/>
  <c r="M30" i="3"/>
  <c r="N30" i="3" s="1"/>
  <c r="P30" i="3" s="1"/>
  <c r="M29" i="3"/>
  <c r="N29" i="3" s="1"/>
  <c r="P29" i="3" s="1"/>
  <c r="M28" i="3"/>
  <c r="N28" i="3" s="1"/>
  <c r="P28" i="3" s="1"/>
  <c r="M27" i="3"/>
  <c r="N27" i="3" s="1"/>
  <c r="P27" i="3" s="1"/>
  <c r="M26" i="3"/>
  <c r="N26" i="3" s="1"/>
  <c r="P26" i="3" s="1"/>
  <c r="M25" i="3"/>
  <c r="N25" i="3" s="1"/>
  <c r="P25" i="3" s="1"/>
  <c r="M24" i="3"/>
  <c r="N24" i="3" s="1"/>
  <c r="P24" i="3" s="1"/>
  <c r="M23" i="3"/>
  <c r="N23" i="3" s="1"/>
  <c r="P23" i="3" s="1"/>
  <c r="M22" i="3"/>
  <c r="N22" i="3" s="1"/>
  <c r="P22" i="3" s="1"/>
  <c r="M21" i="3"/>
  <c r="N21" i="3" s="1"/>
  <c r="P21" i="3" s="1"/>
  <c r="M20" i="3"/>
  <c r="N20" i="3" s="1"/>
  <c r="P20" i="3" s="1"/>
  <c r="M19" i="3"/>
  <c r="N19" i="3" s="1"/>
  <c r="P19" i="3" s="1"/>
  <c r="M18" i="3"/>
  <c r="N18" i="3" s="1"/>
  <c r="P18" i="3" s="1"/>
  <c r="M17" i="3"/>
  <c r="N17" i="3" s="1"/>
  <c r="P17" i="3" s="1"/>
  <c r="M16" i="3"/>
  <c r="N16" i="3" s="1"/>
  <c r="P16" i="3" s="1"/>
  <c r="M15" i="3"/>
  <c r="N15" i="3" s="1"/>
  <c r="P15" i="3" s="1"/>
  <c r="M14" i="3"/>
  <c r="N14" i="3" s="1"/>
  <c r="P14" i="3" s="1"/>
  <c r="M13" i="3"/>
  <c r="N13" i="3" s="1"/>
  <c r="P13" i="3" s="1"/>
  <c r="M12" i="3"/>
  <c r="N12" i="3" s="1"/>
  <c r="P12" i="3" s="1"/>
  <c r="M11" i="3"/>
  <c r="N11" i="3" s="1"/>
  <c r="P11" i="3" s="1"/>
  <c r="M10" i="3"/>
  <c r="N10" i="3" s="1"/>
  <c r="P10" i="3" s="1"/>
  <c r="M9" i="3"/>
  <c r="N9" i="3" s="1"/>
  <c r="P9" i="3" s="1"/>
  <c r="M8" i="3"/>
  <c r="N8" i="3" s="1"/>
  <c r="P8" i="3" s="1"/>
  <c r="M7" i="3"/>
  <c r="N7" i="3" s="1"/>
  <c r="P7" i="3" s="1"/>
  <c r="M5" i="3"/>
  <c r="N5" i="3" s="1"/>
  <c r="P5" i="3" s="1"/>
  <c r="M4" i="3"/>
  <c r="N4" i="3" s="1"/>
  <c r="P4" i="3" s="1"/>
  <c r="M3" i="3"/>
  <c r="N3" i="3" s="1"/>
  <c r="P3" i="3" s="1"/>
</calcChain>
</file>

<file path=xl/sharedStrings.xml><?xml version="1.0" encoding="utf-8"?>
<sst xmlns="http://schemas.openxmlformats.org/spreadsheetml/2006/main" count="165" uniqueCount="37">
  <si>
    <t>St.Regis, Al Mouj - Muscat</t>
  </si>
  <si>
    <t>INTERNAL</t>
  </si>
  <si>
    <t>BALCONY (EXTERNAL)</t>
  </si>
  <si>
    <t>PRIVATE &amp; ROOF GARDEN (EXTERNAL)</t>
  </si>
  <si>
    <t>Total Unit Area Size</t>
  </si>
  <si>
    <t>SN</t>
  </si>
  <si>
    <t>Availability Status</t>
  </si>
  <si>
    <t>Unit No.</t>
  </si>
  <si>
    <t>Floor No.</t>
  </si>
  <si>
    <t>Level</t>
  </si>
  <si>
    <t>Type</t>
  </si>
  <si>
    <t>Beds</t>
  </si>
  <si>
    <t>View</t>
  </si>
  <si>
    <t>Internal Area Size</t>
  </si>
  <si>
    <t>Balcony Area</t>
  </si>
  <si>
    <t>GF Private Garden Size</t>
  </si>
  <si>
    <t>Roof Garden Size</t>
  </si>
  <si>
    <t>Total Garden Area Size</t>
  </si>
  <si>
    <t>Price (OMR)</t>
  </si>
  <si>
    <t>Price/sqm (OMR)</t>
  </si>
  <si>
    <t>Available</t>
  </si>
  <si>
    <t>G</t>
  </si>
  <si>
    <t>Apartment</t>
  </si>
  <si>
    <t>1a</t>
  </si>
  <si>
    <t>Pool / Sea</t>
  </si>
  <si>
    <t>1b</t>
  </si>
  <si>
    <t xml:space="preserve"> </t>
  </si>
  <si>
    <t>1c</t>
  </si>
  <si>
    <t>Sea</t>
  </si>
  <si>
    <t>Golf Course</t>
  </si>
  <si>
    <t>1d</t>
  </si>
  <si>
    <t>1e</t>
  </si>
  <si>
    <t>1f</t>
  </si>
  <si>
    <t>1g</t>
  </si>
  <si>
    <t>1i</t>
  </si>
  <si>
    <t>1h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</si>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</sst>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_(* #,##0.00_);_(* \(#,##0.00\);_(* &quot;-&quot;??_);_(@_)"/>
    <numFmt numFmtId="166" formatCode="_(* #,##0_);_(* \(#,##0\);_(* &quot;-&quot;??_);_(@_)"/>
    <numFmt numFmtId="167" formatCode="#,##0_ ;\-#,##0\ "/>
  </numFmts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2892E"/>
        <bgColor rgb="FF000000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 style="thin">
        <color theme="0" tint="-0.499984740745262"/>
      </bottom>
      <diagonal/>
    </border>
    <border>
      <left/>
      <right style="thin">
        <color rgb="FF808080"/>
      </right>
      <top style="thin">
        <color rgb="FF808080"/>
      </top>
      <bottom style="thin">
        <color theme="0" tint="-0.499984740745262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31">
    <xf numFmtId="0" fontId="0" fillId="0" borderId="0" xfId="0"/>
    <xf numFmtId="0" fontId="5" fillId="4" borderId="2" xfId="3" applyFont="1" applyFill="1" applyBorder="1" applyAlignment="1">
      <alignment horizontal="center" vertical="center" wrapText="1"/>
    </xf>
    <xf numFmtId="0" fontId="6" fillId="0" borderId="0" xfId="3" applyFont="1"/>
    <xf numFmtId="0" fontId="3" fillId="0" borderId="0" xfId="3"/>
    <xf numFmtId="0" fontId="7" fillId="5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4" applyNumberFormat="1" applyFont="1" applyFill="1" applyBorder="1" applyAlignment="1">
      <alignment horizontal="center" vertical="center"/>
    </xf>
    <xf numFmtId="165" fontId="6" fillId="0" borderId="1" xfId="4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center"/>
    </xf>
    <xf numFmtId="0" fontId="6" fillId="0" borderId="1" xfId="3" applyFont="1" applyBorder="1"/>
    <xf numFmtId="165" fontId="4" fillId="0" borderId="2" xfId="4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5" fontId="6" fillId="4" borderId="1" xfId="4" applyFont="1" applyFill="1" applyBorder="1" applyAlignment="1">
      <alignment horizontal="center" vertical="center"/>
    </xf>
    <xf numFmtId="165" fontId="4" fillId="4" borderId="2" xfId="4" applyFont="1" applyFill="1" applyBorder="1" applyAlignment="1">
      <alignment horizontal="center" vertical="center"/>
    </xf>
    <xf numFmtId="0" fontId="6" fillId="4" borderId="1" xfId="3" applyFont="1" applyFill="1" applyBorder="1"/>
    <xf numFmtId="0" fontId="6" fillId="4" borderId="1" xfId="2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/>
    </xf>
    <xf numFmtId="167" fontId="4" fillId="6" borderId="1" xfId="3" applyNumberFormat="1" applyFont="1" applyFill="1" applyBorder="1" applyAlignment="1">
      <alignment horizontal="center"/>
    </xf>
    <xf numFmtId="166" fontId="4" fillId="6" borderId="1" xfId="3" applyNumberFormat="1" applyFont="1" applyFill="1" applyBorder="1"/>
    <xf numFmtId="166" fontId="4" fillId="6" borderId="1" xfId="3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3" applyFont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6" fillId="4" borderId="3" xfId="3" applyFont="1" applyFill="1" applyBorder="1" applyAlignment="1">
      <alignment horizontal="center" vertical="center" wrapText="1"/>
    </xf>
    <xf numFmtId="0" fontId="6" fillId="4" borderId="4" xfId="3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</cellXfs>
  <cellStyles count="7">
    <cellStyle name="Bad" xfId="2" builtinId="27"/>
    <cellStyle name="Comma 4" xfId="4" xr:uid="{2B69590F-358A-407B-A497-3516AAB21E63}"/>
    <cellStyle name="Comma 4 2" xfId="6" xr:uid="{9CF879C0-186B-44C5-8C39-6EBAC3BF721B}"/>
    <cellStyle name="Good" xfId="1" builtinId="26"/>
    <cellStyle name="Normal" xfId="0" builtinId="0"/>
    <cellStyle name="Normal 4" xfId="3" xr:uid="{A951AC17-3AFF-40BB-9180-035BD4EB0874}"/>
    <cellStyle name="Normal 4 2" xfId="5" xr:uid="{B623044B-ED5E-4DC7-8C9B-F6465BE4B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6259-5082-4967-93DF-9126637D45D2}">
  <dimension ref="A1:AU50"/>
  <sheetViews>
    <sheetView showGridLines="0" tabSelected="1" workbookViewId="0">
      <selection activeCell="R9" sqref="R9"/>
    </sheetView>
  </sheetViews>
  <sheetFormatPr defaultColWidth="12.140625" defaultRowHeight="15.75" x14ac:dyDescent="0.25"/>
  <cols>
    <col min="1" max="1" width="6.140625" style="2" customWidth="1"/>
    <col min="2" max="2" width="20.28515625" style="2" customWidth="1"/>
    <col min="3" max="4" width="10.140625" style="2" customWidth="1"/>
    <col min="5" max="5" width="13.140625" style="2" customWidth="1"/>
    <col min="6" max="6" width="8.28515625" style="2" customWidth="1"/>
    <col min="7" max="7" width="10.85546875" style="2" customWidth="1"/>
    <col min="8" max="8" width="12.140625" style="2"/>
    <col min="9" max="9" width="13" style="2" customWidth="1"/>
    <col min="10" max="10" width="15" style="2" customWidth="1"/>
    <col min="11" max="12" width="13" style="2" customWidth="1"/>
    <col min="13" max="13" width="18.140625" style="2" customWidth="1"/>
    <col min="14" max="14" width="18.28515625" style="10" bestFit="1" customWidth="1"/>
    <col min="15" max="15" width="18.42578125" style="2" customWidth="1"/>
    <col min="16" max="16" width="17.5703125" style="11" customWidth="1"/>
    <col min="17" max="17" width="16.140625" style="2" customWidth="1"/>
    <col min="18" max="22" width="12.140625" style="2"/>
    <col min="23" max="16384" width="12.140625" style="3"/>
  </cols>
  <sheetData>
    <row r="1" spans="1:47" s="2" customFormat="1" ht="39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1" t="s">
        <v>1</v>
      </c>
      <c r="J1" s="1" t="s">
        <v>2</v>
      </c>
      <c r="K1" s="26" t="s">
        <v>3</v>
      </c>
      <c r="L1" s="26"/>
      <c r="M1" s="26"/>
      <c r="N1" s="27" t="s">
        <v>4</v>
      </c>
      <c r="O1" s="29" t="s">
        <v>36</v>
      </c>
      <c r="P1" s="30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s="2" customFormat="1" ht="31.5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28"/>
      <c r="O2" s="20" t="s">
        <v>18</v>
      </c>
      <c r="P2" s="20" t="s">
        <v>19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s="2" customFormat="1" x14ac:dyDescent="0.25">
      <c r="A3" s="6">
        <v>1</v>
      </c>
      <c r="B3" s="18" t="s">
        <v>20</v>
      </c>
      <c r="C3" s="15">
        <v>21</v>
      </c>
      <c r="D3" s="14" t="s">
        <v>21</v>
      </c>
      <c r="E3" s="14" t="s">
        <v>22</v>
      </c>
      <c r="F3" s="14" t="s">
        <v>25</v>
      </c>
      <c r="G3" s="14">
        <v>3</v>
      </c>
      <c r="H3" s="19" t="s">
        <v>29</v>
      </c>
      <c r="I3" s="16">
        <v>217.86</v>
      </c>
      <c r="J3" s="16">
        <v>87.54</v>
      </c>
      <c r="K3" s="16">
        <v>51.43</v>
      </c>
      <c r="L3" s="16">
        <v>0</v>
      </c>
      <c r="M3" s="16">
        <f t="shared" ref="M3:M23" si="0">SUM(K3,L3)</f>
        <v>51.43</v>
      </c>
      <c r="N3" s="17">
        <f t="shared" ref="N3:N23" si="1">SUM(I3,J3,M3)</f>
        <v>356.83000000000004</v>
      </c>
      <c r="O3" s="23">
        <v>838530.27157289267</v>
      </c>
      <c r="P3" s="21">
        <f t="shared" ref="P3:P38" si="2">O3/N3</f>
        <v>2349.943310744311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s="2" customFormat="1" x14ac:dyDescent="0.25">
      <c r="A4" s="6">
        <v>2</v>
      </c>
      <c r="B4" s="18" t="s">
        <v>20</v>
      </c>
      <c r="C4" s="15">
        <v>22</v>
      </c>
      <c r="D4" s="14" t="s">
        <v>21</v>
      </c>
      <c r="E4" s="14" t="s">
        <v>22</v>
      </c>
      <c r="F4" s="14" t="s">
        <v>27</v>
      </c>
      <c r="G4" s="14">
        <v>3</v>
      </c>
      <c r="H4" s="19" t="s">
        <v>29</v>
      </c>
      <c r="I4" s="16">
        <v>215.5</v>
      </c>
      <c r="J4" s="16">
        <v>97.04</v>
      </c>
      <c r="K4" s="16">
        <v>51.33</v>
      </c>
      <c r="L4" s="16">
        <v>0</v>
      </c>
      <c r="M4" s="16">
        <f t="shared" si="0"/>
        <v>51.33</v>
      </c>
      <c r="N4" s="17">
        <f t="shared" si="1"/>
        <v>363.87</v>
      </c>
      <c r="O4" s="23">
        <v>844338.570792621</v>
      </c>
      <c r="P4" s="21">
        <f t="shared" si="2"/>
        <v>2320.4401868596506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s="2" customFormat="1" x14ac:dyDescent="0.25">
      <c r="A5" s="6">
        <v>3</v>
      </c>
      <c r="B5" s="18" t="s">
        <v>20</v>
      </c>
      <c r="C5" s="15">
        <v>23</v>
      </c>
      <c r="D5" s="14" t="s">
        <v>21</v>
      </c>
      <c r="E5" s="14" t="s">
        <v>22</v>
      </c>
      <c r="F5" s="14" t="s">
        <v>30</v>
      </c>
      <c r="G5" s="14">
        <v>3</v>
      </c>
      <c r="H5" s="19" t="s">
        <v>29</v>
      </c>
      <c r="I5" s="16">
        <v>215.29</v>
      </c>
      <c r="J5" s="16">
        <v>107.83</v>
      </c>
      <c r="K5" s="16">
        <v>64.97</v>
      </c>
      <c r="L5" s="16">
        <v>0</v>
      </c>
      <c r="M5" s="16">
        <f t="shared" si="0"/>
        <v>64.97</v>
      </c>
      <c r="N5" s="17">
        <f t="shared" si="1"/>
        <v>388.09000000000003</v>
      </c>
      <c r="O5" s="23">
        <v>898521.26096345927</v>
      </c>
      <c r="P5" s="21">
        <f t="shared" si="2"/>
        <v>2315.2394057137758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s="2" customFormat="1" x14ac:dyDescent="0.25">
      <c r="A6" s="6">
        <v>4</v>
      </c>
      <c r="B6" s="12" t="s">
        <v>20</v>
      </c>
      <c r="C6" s="24">
        <v>27</v>
      </c>
      <c r="D6" s="6" t="s">
        <v>21</v>
      </c>
      <c r="E6" s="6" t="s">
        <v>22</v>
      </c>
      <c r="F6" s="6" t="s">
        <v>25</v>
      </c>
      <c r="G6" s="6">
        <v>3</v>
      </c>
      <c r="H6" s="9" t="s">
        <v>29</v>
      </c>
      <c r="I6" s="8">
        <v>217.86</v>
      </c>
      <c r="J6" s="8">
        <v>89.48</v>
      </c>
      <c r="K6" s="8">
        <v>0</v>
      </c>
      <c r="L6" s="8">
        <v>0</v>
      </c>
      <c r="M6" s="8">
        <f t="shared" si="0"/>
        <v>0</v>
      </c>
      <c r="N6" s="13">
        <f t="shared" si="1"/>
        <v>307.34000000000003</v>
      </c>
      <c r="O6" s="23">
        <v>665799.39827704884</v>
      </c>
      <c r="P6" s="21">
        <f t="shared" si="2"/>
        <v>2166.3284905220562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s="2" customFormat="1" x14ac:dyDescent="0.25">
      <c r="A7" s="6">
        <v>5</v>
      </c>
      <c r="B7" s="18" t="s">
        <v>20</v>
      </c>
      <c r="C7" s="15">
        <v>30</v>
      </c>
      <c r="D7" s="14" t="s">
        <v>21</v>
      </c>
      <c r="E7" s="14" t="s">
        <v>22</v>
      </c>
      <c r="F7" s="14" t="s">
        <v>31</v>
      </c>
      <c r="G7" s="14">
        <v>3</v>
      </c>
      <c r="H7" s="19" t="s">
        <v>29</v>
      </c>
      <c r="I7" s="16">
        <v>215.52</v>
      </c>
      <c r="J7" s="16">
        <v>89.33</v>
      </c>
      <c r="K7" s="16">
        <v>66.95</v>
      </c>
      <c r="L7" s="16">
        <v>0</v>
      </c>
      <c r="M7" s="16">
        <f t="shared" si="0"/>
        <v>66.95</v>
      </c>
      <c r="N7" s="17">
        <f t="shared" si="1"/>
        <v>371.8</v>
      </c>
      <c r="O7" s="23">
        <v>849016.42363411712</v>
      </c>
      <c r="P7" s="21">
        <f t="shared" si="2"/>
        <v>2283.5299183273723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x14ac:dyDescent="0.25">
      <c r="A8" s="6">
        <v>6</v>
      </c>
      <c r="B8" s="12" t="s">
        <v>20</v>
      </c>
      <c r="C8" s="6">
        <v>119</v>
      </c>
      <c r="D8" s="6">
        <v>1</v>
      </c>
      <c r="E8" s="6" t="s">
        <v>22</v>
      </c>
      <c r="F8" s="6" t="s">
        <v>32</v>
      </c>
      <c r="G8" s="7">
        <v>3</v>
      </c>
      <c r="H8" s="9" t="s">
        <v>29</v>
      </c>
      <c r="I8" s="8">
        <v>216.59</v>
      </c>
      <c r="J8" s="8">
        <v>44.05</v>
      </c>
      <c r="K8" s="8">
        <v>0</v>
      </c>
      <c r="L8" s="8">
        <v>0</v>
      </c>
      <c r="M8" s="8">
        <f t="shared" si="0"/>
        <v>0</v>
      </c>
      <c r="N8" s="13">
        <f t="shared" si="1"/>
        <v>260.64</v>
      </c>
      <c r="O8" s="23">
        <v>580791.66040634899</v>
      </c>
      <c r="P8" s="21">
        <f t="shared" si="2"/>
        <v>2228.3289610433894</v>
      </c>
    </row>
    <row r="9" spans="1:47" x14ac:dyDescent="0.25">
      <c r="A9" s="6">
        <v>7</v>
      </c>
      <c r="B9" s="12" t="s">
        <v>20</v>
      </c>
      <c r="C9" s="6">
        <v>120</v>
      </c>
      <c r="D9" s="6">
        <v>1</v>
      </c>
      <c r="E9" s="6" t="s">
        <v>22</v>
      </c>
      <c r="F9" s="6" t="s">
        <v>33</v>
      </c>
      <c r="G9" s="7">
        <v>3</v>
      </c>
      <c r="H9" s="9" t="s">
        <v>29</v>
      </c>
      <c r="I9" s="8">
        <v>215.39</v>
      </c>
      <c r="J9" s="8">
        <v>47.82</v>
      </c>
      <c r="K9" s="8">
        <v>0</v>
      </c>
      <c r="L9" s="8">
        <v>0</v>
      </c>
      <c r="M9" s="8">
        <f t="shared" si="0"/>
        <v>0</v>
      </c>
      <c r="N9" s="13">
        <f t="shared" si="1"/>
        <v>263.20999999999998</v>
      </c>
      <c r="O9" s="23">
        <v>582690.09280929447</v>
      </c>
      <c r="P9" s="21">
        <f t="shared" si="2"/>
        <v>2213.7840234386781</v>
      </c>
    </row>
    <row r="10" spans="1:47" x14ac:dyDescent="0.25">
      <c r="A10" s="6">
        <v>8</v>
      </c>
      <c r="B10" s="12" t="s">
        <v>20</v>
      </c>
      <c r="C10" s="6">
        <v>121</v>
      </c>
      <c r="D10" s="6">
        <v>1</v>
      </c>
      <c r="E10" s="6" t="s">
        <v>22</v>
      </c>
      <c r="F10" s="6" t="s">
        <v>32</v>
      </c>
      <c r="G10" s="7">
        <v>3</v>
      </c>
      <c r="H10" s="9" t="s">
        <v>29</v>
      </c>
      <c r="I10" s="8">
        <v>216.59</v>
      </c>
      <c r="J10" s="8">
        <v>45.76</v>
      </c>
      <c r="K10" s="8">
        <v>0</v>
      </c>
      <c r="L10" s="8">
        <v>0</v>
      </c>
      <c r="M10" s="8">
        <f t="shared" si="0"/>
        <v>0</v>
      </c>
      <c r="N10" s="13">
        <f t="shared" si="1"/>
        <v>262.35000000000002</v>
      </c>
      <c r="O10" s="23">
        <v>582872.74026154436</v>
      </c>
      <c r="P10" s="21">
        <f t="shared" si="2"/>
        <v>2221.737146032187</v>
      </c>
      <c r="V10" s="2" t="s">
        <v>26</v>
      </c>
    </row>
    <row r="11" spans="1:47" x14ac:dyDescent="0.25">
      <c r="A11" s="6">
        <v>9</v>
      </c>
      <c r="B11" s="12" t="s">
        <v>20</v>
      </c>
      <c r="C11" s="6">
        <v>122</v>
      </c>
      <c r="D11" s="6">
        <v>1</v>
      </c>
      <c r="E11" s="6" t="s">
        <v>22</v>
      </c>
      <c r="F11" s="6" t="s">
        <v>33</v>
      </c>
      <c r="G11" s="7">
        <v>3</v>
      </c>
      <c r="H11" s="9" t="s">
        <v>29</v>
      </c>
      <c r="I11" s="8">
        <v>215.39</v>
      </c>
      <c r="J11" s="8">
        <v>44.44</v>
      </c>
      <c r="K11" s="8">
        <v>0</v>
      </c>
      <c r="L11" s="8">
        <v>0</v>
      </c>
      <c r="M11" s="8">
        <f t="shared" si="0"/>
        <v>0</v>
      </c>
      <c r="N11" s="13">
        <f t="shared" si="1"/>
        <v>259.83</v>
      </c>
      <c r="O11" s="23">
        <v>578574.98099630792</v>
      </c>
      <c r="P11" s="21">
        <f t="shared" si="2"/>
        <v>2226.744336667467</v>
      </c>
    </row>
    <row r="12" spans="1:47" x14ac:dyDescent="0.25">
      <c r="A12" s="6">
        <v>10</v>
      </c>
      <c r="B12" s="12" t="s">
        <v>20</v>
      </c>
      <c r="C12" s="6">
        <v>123</v>
      </c>
      <c r="D12" s="6">
        <v>1</v>
      </c>
      <c r="E12" s="6" t="s">
        <v>22</v>
      </c>
      <c r="F12" s="6" t="s">
        <v>34</v>
      </c>
      <c r="G12" s="7">
        <v>3</v>
      </c>
      <c r="H12" s="9" t="s">
        <v>29</v>
      </c>
      <c r="I12" s="8">
        <v>213.83</v>
      </c>
      <c r="J12" s="8">
        <v>69.06</v>
      </c>
      <c r="K12" s="8">
        <v>0</v>
      </c>
      <c r="L12" s="8">
        <v>0</v>
      </c>
      <c r="M12" s="8">
        <f t="shared" si="0"/>
        <v>0</v>
      </c>
      <c r="N12" s="13">
        <f t="shared" si="1"/>
        <v>282.89</v>
      </c>
      <c r="O12" s="23">
        <v>630642.72129687632</v>
      </c>
      <c r="P12" s="21">
        <f t="shared" si="2"/>
        <v>2229.2860168152865</v>
      </c>
    </row>
    <row r="13" spans="1:47" x14ac:dyDescent="0.25">
      <c r="A13" s="6">
        <v>11</v>
      </c>
      <c r="B13" s="12" t="s">
        <v>20</v>
      </c>
      <c r="C13" s="6">
        <v>124</v>
      </c>
      <c r="D13" s="6">
        <v>1</v>
      </c>
      <c r="E13" s="6" t="s">
        <v>22</v>
      </c>
      <c r="F13" s="6">
        <v>2</v>
      </c>
      <c r="G13" s="7">
        <v>2</v>
      </c>
      <c r="H13" s="9" t="s">
        <v>29</v>
      </c>
      <c r="I13" s="8">
        <v>159.31</v>
      </c>
      <c r="J13" s="8">
        <v>37.81</v>
      </c>
      <c r="K13" s="8">
        <v>0</v>
      </c>
      <c r="L13" s="8">
        <v>0</v>
      </c>
      <c r="M13" s="8">
        <f t="shared" si="0"/>
        <v>0</v>
      </c>
      <c r="N13" s="13">
        <f t="shared" si="1"/>
        <v>197.12</v>
      </c>
      <c r="O13" s="23">
        <v>441630.9112816031</v>
      </c>
      <c r="P13" s="21">
        <f t="shared" si="2"/>
        <v>2240.4165547970938</v>
      </c>
    </row>
    <row r="14" spans="1:47" x14ac:dyDescent="0.25">
      <c r="A14" s="6">
        <v>12</v>
      </c>
      <c r="B14" s="12" t="s">
        <v>20</v>
      </c>
      <c r="C14" s="6">
        <v>126</v>
      </c>
      <c r="D14" s="6">
        <v>1</v>
      </c>
      <c r="E14" s="6" t="s">
        <v>22</v>
      </c>
      <c r="F14" s="6">
        <v>2</v>
      </c>
      <c r="G14" s="7">
        <v>2</v>
      </c>
      <c r="H14" s="9" t="s">
        <v>29</v>
      </c>
      <c r="I14" s="8">
        <v>159.31</v>
      </c>
      <c r="J14" s="8">
        <v>38.39</v>
      </c>
      <c r="K14" s="8">
        <v>0</v>
      </c>
      <c r="L14" s="8">
        <v>0</v>
      </c>
      <c r="M14" s="8">
        <f t="shared" si="0"/>
        <v>0</v>
      </c>
      <c r="N14" s="13">
        <f t="shared" si="1"/>
        <v>197.7</v>
      </c>
      <c r="O14" s="23">
        <v>442349.55429297511</v>
      </c>
      <c r="P14" s="21">
        <f t="shared" si="2"/>
        <v>2237.4787774050337</v>
      </c>
    </row>
    <row r="15" spans="1:47" x14ac:dyDescent="0.25">
      <c r="A15" s="6">
        <v>13</v>
      </c>
      <c r="B15" s="12" t="s">
        <v>20</v>
      </c>
      <c r="C15" s="6">
        <v>130</v>
      </c>
      <c r="D15" s="6">
        <v>1</v>
      </c>
      <c r="E15" s="6" t="s">
        <v>22</v>
      </c>
      <c r="F15" s="6" t="s">
        <v>35</v>
      </c>
      <c r="G15" s="7">
        <v>3</v>
      </c>
      <c r="H15" s="9" t="s">
        <v>29</v>
      </c>
      <c r="I15" s="8">
        <v>215.47</v>
      </c>
      <c r="J15" s="8">
        <v>62.64</v>
      </c>
      <c r="K15" s="8">
        <v>0</v>
      </c>
      <c r="L15" s="8">
        <v>0</v>
      </c>
      <c r="M15" s="8">
        <f t="shared" si="0"/>
        <v>0</v>
      </c>
      <c r="N15" s="13">
        <f t="shared" si="1"/>
        <v>278.11</v>
      </c>
      <c r="O15" s="23">
        <v>616995.55699097435</v>
      </c>
      <c r="P15" s="21">
        <f t="shared" si="2"/>
        <v>2218.5306425190547</v>
      </c>
    </row>
    <row r="16" spans="1:47" s="2" customFormat="1" x14ac:dyDescent="0.25">
      <c r="A16" s="6">
        <v>14</v>
      </c>
      <c r="B16" s="12" t="s">
        <v>20</v>
      </c>
      <c r="C16" s="6">
        <v>206</v>
      </c>
      <c r="D16" s="6">
        <v>2</v>
      </c>
      <c r="E16" s="6" t="s">
        <v>22</v>
      </c>
      <c r="F16" s="6" t="s">
        <v>25</v>
      </c>
      <c r="G16" s="7">
        <v>2</v>
      </c>
      <c r="H16" s="7" t="s">
        <v>24</v>
      </c>
      <c r="I16" s="8">
        <v>153.61000000000001</v>
      </c>
      <c r="J16" s="8">
        <v>30.74</v>
      </c>
      <c r="K16" s="8">
        <v>0</v>
      </c>
      <c r="L16" s="8">
        <v>0</v>
      </c>
      <c r="M16" s="8">
        <f t="shared" si="0"/>
        <v>0</v>
      </c>
      <c r="N16" s="13">
        <f t="shared" si="1"/>
        <v>184.35000000000002</v>
      </c>
      <c r="O16" s="23">
        <v>452842.80584388715</v>
      </c>
      <c r="P16" s="21">
        <f t="shared" si="2"/>
        <v>2456.4296492752214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s="2" customFormat="1" x14ac:dyDescent="0.25">
      <c r="A17" s="6">
        <v>15</v>
      </c>
      <c r="B17" s="12" t="s">
        <v>20</v>
      </c>
      <c r="C17" s="6">
        <v>207</v>
      </c>
      <c r="D17" s="6">
        <v>2</v>
      </c>
      <c r="E17" s="6" t="s">
        <v>22</v>
      </c>
      <c r="F17" s="6" t="s">
        <v>27</v>
      </c>
      <c r="G17" s="7">
        <v>2</v>
      </c>
      <c r="H17" s="7" t="s">
        <v>24</v>
      </c>
      <c r="I17" s="8">
        <v>152.47999999999999</v>
      </c>
      <c r="J17" s="8">
        <v>33.32</v>
      </c>
      <c r="K17" s="8">
        <v>0</v>
      </c>
      <c r="L17" s="8">
        <v>0</v>
      </c>
      <c r="M17" s="8">
        <f t="shared" si="0"/>
        <v>0</v>
      </c>
      <c r="N17" s="13">
        <f t="shared" si="1"/>
        <v>185.79999999999998</v>
      </c>
      <c r="O17" s="23">
        <v>453564.29104409378</v>
      </c>
      <c r="P17" s="21">
        <f t="shared" si="2"/>
        <v>2441.142578278223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s="2" customFormat="1" x14ac:dyDescent="0.25">
      <c r="A18" s="6">
        <v>16</v>
      </c>
      <c r="B18" s="12" t="s">
        <v>20</v>
      </c>
      <c r="C18" s="6">
        <v>208</v>
      </c>
      <c r="D18" s="6">
        <v>2</v>
      </c>
      <c r="E18" s="6" t="s">
        <v>22</v>
      </c>
      <c r="F18" s="6" t="s">
        <v>27</v>
      </c>
      <c r="G18" s="7">
        <v>2</v>
      </c>
      <c r="H18" s="7" t="s">
        <v>24</v>
      </c>
      <c r="I18" s="8">
        <v>152.47999999999999</v>
      </c>
      <c r="J18" s="8">
        <v>28.99</v>
      </c>
      <c r="K18" s="8">
        <v>0</v>
      </c>
      <c r="L18" s="8">
        <v>0</v>
      </c>
      <c r="M18" s="8">
        <f t="shared" si="0"/>
        <v>0</v>
      </c>
      <c r="N18" s="13">
        <f t="shared" si="1"/>
        <v>181.47</v>
      </c>
      <c r="O18" s="23">
        <v>447758.64666600182</v>
      </c>
      <c r="P18" s="21">
        <f t="shared" si="2"/>
        <v>2467.3976231112679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s="2" customFormat="1" x14ac:dyDescent="0.25">
      <c r="A19" s="6">
        <v>17</v>
      </c>
      <c r="B19" s="12" t="s">
        <v>20</v>
      </c>
      <c r="C19" s="6">
        <v>215</v>
      </c>
      <c r="D19" s="6">
        <v>2</v>
      </c>
      <c r="E19" s="6" t="s">
        <v>22</v>
      </c>
      <c r="F19" s="6" t="s">
        <v>23</v>
      </c>
      <c r="G19" s="7">
        <v>2</v>
      </c>
      <c r="H19" s="7" t="s">
        <v>28</v>
      </c>
      <c r="I19" s="8">
        <v>153.79</v>
      </c>
      <c r="J19" s="8">
        <v>49.53</v>
      </c>
      <c r="K19" s="8">
        <v>0</v>
      </c>
      <c r="L19" s="8">
        <v>0</v>
      </c>
      <c r="M19" s="8">
        <f t="shared" si="0"/>
        <v>0</v>
      </c>
      <c r="N19" s="13">
        <f t="shared" si="1"/>
        <v>203.32</v>
      </c>
      <c r="O19" s="23">
        <v>484189.44939102762</v>
      </c>
      <c r="P19" s="21">
        <f t="shared" si="2"/>
        <v>2381.4157455785344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s="2" customFormat="1" x14ac:dyDescent="0.25">
      <c r="A20" s="6">
        <v>18</v>
      </c>
      <c r="B20" s="12" t="s">
        <v>20</v>
      </c>
      <c r="C20" s="6">
        <v>219</v>
      </c>
      <c r="D20" s="6">
        <v>2</v>
      </c>
      <c r="E20" s="6" t="s">
        <v>22</v>
      </c>
      <c r="F20" s="6" t="s">
        <v>32</v>
      </c>
      <c r="G20" s="7">
        <v>3</v>
      </c>
      <c r="H20" s="9" t="s">
        <v>29</v>
      </c>
      <c r="I20" s="8">
        <v>216.59</v>
      </c>
      <c r="J20" s="8">
        <v>43.95</v>
      </c>
      <c r="K20" s="8">
        <v>0</v>
      </c>
      <c r="L20" s="8">
        <v>0</v>
      </c>
      <c r="M20" s="8">
        <f t="shared" si="0"/>
        <v>0</v>
      </c>
      <c r="N20" s="13">
        <f t="shared" si="1"/>
        <v>260.54000000000002</v>
      </c>
      <c r="O20" s="23">
        <v>595007.48970236804</v>
      </c>
      <c r="P20" s="21">
        <f t="shared" si="2"/>
        <v>2283.7471777936898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s="2" customFormat="1" x14ac:dyDescent="0.25">
      <c r="A21" s="6">
        <v>19</v>
      </c>
      <c r="B21" s="12" t="s">
        <v>20</v>
      </c>
      <c r="C21" s="6">
        <v>220</v>
      </c>
      <c r="D21" s="6">
        <v>2</v>
      </c>
      <c r="E21" s="6" t="s">
        <v>22</v>
      </c>
      <c r="F21" s="6" t="s">
        <v>33</v>
      </c>
      <c r="G21" s="7">
        <v>3</v>
      </c>
      <c r="H21" s="9" t="s">
        <v>29</v>
      </c>
      <c r="I21" s="8">
        <v>215.39</v>
      </c>
      <c r="J21" s="8">
        <v>45.43</v>
      </c>
      <c r="K21" s="8">
        <v>0</v>
      </c>
      <c r="L21" s="8">
        <v>0</v>
      </c>
      <c r="M21" s="8">
        <f t="shared" si="0"/>
        <v>0</v>
      </c>
      <c r="N21" s="13">
        <f t="shared" si="1"/>
        <v>260.82</v>
      </c>
      <c r="O21" s="23">
        <v>594095.85764620255</v>
      </c>
      <c r="P21" s="21">
        <f t="shared" si="2"/>
        <v>2277.8002363553505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s="2" customFormat="1" x14ac:dyDescent="0.25">
      <c r="A22" s="6">
        <v>20</v>
      </c>
      <c r="B22" s="12" t="s">
        <v>20</v>
      </c>
      <c r="C22" s="6">
        <v>221</v>
      </c>
      <c r="D22" s="6">
        <v>2</v>
      </c>
      <c r="E22" s="6" t="s">
        <v>22</v>
      </c>
      <c r="F22" s="6" t="s">
        <v>32</v>
      </c>
      <c r="G22" s="7">
        <v>3</v>
      </c>
      <c r="H22" s="9" t="s">
        <v>29</v>
      </c>
      <c r="I22" s="8">
        <v>216.59</v>
      </c>
      <c r="J22" s="8">
        <v>43.41</v>
      </c>
      <c r="K22" s="8">
        <v>0</v>
      </c>
      <c r="L22" s="8">
        <v>0</v>
      </c>
      <c r="M22" s="8">
        <f t="shared" si="0"/>
        <v>0</v>
      </c>
      <c r="N22" s="13">
        <f t="shared" si="1"/>
        <v>260</v>
      </c>
      <c r="O22" s="23">
        <v>594334.07984669087</v>
      </c>
      <c r="P22" s="21">
        <f t="shared" si="2"/>
        <v>2285.9003071026573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s="2" customFormat="1" x14ac:dyDescent="0.25">
      <c r="A23" s="6">
        <v>21</v>
      </c>
      <c r="B23" s="12" t="s">
        <v>20</v>
      </c>
      <c r="C23" s="6">
        <v>222</v>
      </c>
      <c r="D23" s="6">
        <v>2</v>
      </c>
      <c r="E23" s="6" t="s">
        <v>22</v>
      </c>
      <c r="F23" s="6" t="s">
        <v>33</v>
      </c>
      <c r="G23" s="7">
        <v>3</v>
      </c>
      <c r="H23" s="9" t="s">
        <v>29</v>
      </c>
      <c r="I23" s="8">
        <v>215.39</v>
      </c>
      <c r="J23" s="8">
        <v>45.03</v>
      </c>
      <c r="K23" s="8">
        <v>0</v>
      </c>
      <c r="L23" s="8">
        <v>0</v>
      </c>
      <c r="M23" s="8">
        <f t="shared" si="0"/>
        <v>0</v>
      </c>
      <c r="N23" s="13">
        <f t="shared" si="1"/>
        <v>260.41999999999996</v>
      </c>
      <c r="O23" s="23">
        <v>593596.83758560219</v>
      </c>
      <c r="P23" s="21">
        <f t="shared" si="2"/>
        <v>2279.3826802304056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s="2" customFormat="1" x14ac:dyDescent="0.25">
      <c r="A24" s="6">
        <v>22</v>
      </c>
      <c r="B24" s="12" t="s">
        <v>20</v>
      </c>
      <c r="C24" s="6">
        <v>223</v>
      </c>
      <c r="D24" s="6">
        <v>2</v>
      </c>
      <c r="E24" s="6" t="s">
        <v>22</v>
      </c>
      <c r="F24" s="6" t="s">
        <v>34</v>
      </c>
      <c r="G24" s="7">
        <v>3</v>
      </c>
      <c r="H24" s="9" t="s">
        <v>29</v>
      </c>
      <c r="I24" s="8">
        <v>213.83</v>
      </c>
      <c r="J24" s="8">
        <v>68.25</v>
      </c>
      <c r="K24" s="8">
        <v>0</v>
      </c>
      <c r="L24" s="8">
        <v>0</v>
      </c>
      <c r="M24" s="8">
        <f t="shared" ref="M24:M38" si="3">SUM(K24,L24)</f>
        <v>0</v>
      </c>
      <c r="N24" s="13">
        <f t="shared" ref="N24:N38" si="4">SUM(I24,J24,M24)</f>
        <v>282.08000000000004</v>
      </c>
      <c r="O24" s="23">
        <v>645160.3668018179</v>
      </c>
      <c r="P24" s="21">
        <f t="shared" si="2"/>
        <v>2287.1538811749069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s="2" customFormat="1" x14ac:dyDescent="0.25">
      <c r="A25" s="6">
        <v>23</v>
      </c>
      <c r="B25" s="12" t="s">
        <v>20</v>
      </c>
      <c r="C25" s="6">
        <v>224</v>
      </c>
      <c r="D25" s="6">
        <v>2</v>
      </c>
      <c r="E25" s="6" t="s">
        <v>22</v>
      </c>
      <c r="F25" s="6">
        <v>2</v>
      </c>
      <c r="G25" s="7">
        <v>2</v>
      </c>
      <c r="H25" s="9" t="s">
        <v>29</v>
      </c>
      <c r="I25" s="8">
        <v>159.31</v>
      </c>
      <c r="J25" s="8">
        <v>40.71</v>
      </c>
      <c r="K25" s="8">
        <v>0</v>
      </c>
      <c r="L25" s="8">
        <v>0</v>
      </c>
      <c r="M25" s="8">
        <f t="shared" si="3"/>
        <v>0</v>
      </c>
      <c r="N25" s="13">
        <f t="shared" si="4"/>
        <v>200.02</v>
      </c>
      <c r="O25" s="23">
        <v>456217.31464311661</v>
      </c>
      <c r="P25" s="21">
        <f t="shared" si="2"/>
        <v>2280.858487366846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s="2" customFormat="1" x14ac:dyDescent="0.25">
      <c r="A26" s="6">
        <v>24</v>
      </c>
      <c r="B26" s="12" t="s">
        <v>20</v>
      </c>
      <c r="C26" s="6">
        <v>226</v>
      </c>
      <c r="D26" s="6">
        <v>2</v>
      </c>
      <c r="E26" s="6" t="s">
        <v>22</v>
      </c>
      <c r="F26" s="6">
        <v>2</v>
      </c>
      <c r="G26" s="7">
        <v>2</v>
      </c>
      <c r="H26" s="9" t="s">
        <v>29</v>
      </c>
      <c r="I26" s="8">
        <v>159.31</v>
      </c>
      <c r="J26" s="8">
        <v>40.880000000000003</v>
      </c>
      <c r="K26" s="8">
        <v>0</v>
      </c>
      <c r="L26" s="8">
        <v>0</v>
      </c>
      <c r="M26" s="8">
        <f t="shared" si="3"/>
        <v>0</v>
      </c>
      <c r="N26" s="13">
        <f t="shared" si="4"/>
        <v>200.19</v>
      </c>
      <c r="O26" s="23">
        <v>456433.15229510597</v>
      </c>
      <c r="P26" s="21">
        <f t="shared" si="2"/>
        <v>2279.999761701913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s="2" customFormat="1" x14ac:dyDescent="0.25">
      <c r="A27" s="6">
        <v>25</v>
      </c>
      <c r="B27" s="12" t="s">
        <v>20</v>
      </c>
      <c r="C27" s="6">
        <v>307</v>
      </c>
      <c r="D27" s="6">
        <v>3</v>
      </c>
      <c r="E27" s="6" t="s">
        <v>22</v>
      </c>
      <c r="F27" s="6" t="s">
        <v>27</v>
      </c>
      <c r="G27" s="7">
        <v>2</v>
      </c>
      <c r="H27" s="7" t="s">
        <v>24</v>
      </c>
      <c r="I27" s="8">
        <v>152.47999999999999</v>
      </c>
      <c r="J27" s="8">
        <v>33.090000000000003</v>
      </c>
      <c r="K27" s="8">
        <v>0</v>
      </c>
      <c r="L27" s="8">
        <v>0</v>
      </c>
      <c r="M27" s="8">
        <f t="shared" si="3"/>
        <v>0</v>
      </c>
      <c r="N27" s="13">
        <f t="shared" si="4"/>
        <v>185.57</v>
      </c>
      <c r="O27" s="23">
        <v>463675.58413432841</v>
      </c>
      <c r="P27" s="21">
        <f t="shared" si="2"/>
        <v>2498.6559472669528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s="2" customFormat="1" x14ac:dyDescent="0.25">
      <c r="A28" s="6">
        <v>26</v>
      </c>
      <c r="B28" s="12" t="s">
        <v>20</v>
      </c>
      <c r="C28" s="6">
        <v>308</v>
      </c>
      <c r="D28" s="6">
        <v>3</v>
      </c>
      <c r="E28" s="6" t="s">
        <v>22</v>
      </c>
      <c r="F28" s="6" t="s">
        <v>27</v>
      </c>
      <c r="G28" s="7">
        <v>2</v>
      </c>
      <c r="H28" s="7" t="s">
        <v>24</v>
      </c>
      <c r="I28" s="8">
        <v>152.47999999999999</v>
      </c>
      <c r="J28" s="8">
        <v>35.36</v>
      </c>
      <c r="K28" s="8">
        <v>0</v>
      </c>
      <c r="L28" s="8">
        <v>0</v>
      </c>
      <c r="M28" s="8">
        <f t="shared" si="3"/>
        <v>0</v>
      </c>
      <c r="N28" s="13">
        <f t="shared" si="4"/>
        <v>187.83999999999997</v>
      </c>
      <c r="O28" s="23">
        <v>466789.15779498487</v>
      </c>
      <c r="P28" s="21">
        <f t="shared" si="2"/>
        <v>2485.0359763361635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s="2" customFormat="1" x14ac:dyDescent="0.25">
      <c r="A29" s="6">
        <v>27</v>
      </c>
      <c r="B29" s="12" t="s">
        <v>20</v>
      </c>
      <c r="C29" s="6">
        <v>310</v>
      </c>
      <c r="D29" s="6">
        <v>3</v>
      </c>
      <c r="E29" s="6" t="s">
        <v>22</v>
      </c>
      <c r="F29" s="6">
        <v>4</v>
      </c>
      <c r="G29" s="7">
        <v>2</v>
      </c>
      <c r="H29" s="7" t="s">
        <v>28</v>
      </c>
      <c r="I29" s="8">
        <v>163.95</v>
      </c>
      <c r="J29" s="8">
        <v>45.53</v>
      </c>
      <c r="K29" s="8">
        <v>0</v>
      </c>
      <c r="L29" s="8">
        <v>0</v>
      </c>
      <c r="M29" s="8">
        <f t="shared" si="3"/>
        <v>0</v>
      </c>
      <c r="N29" s="13">
        <f t="shared" si="4"/>
        <v>209.48</v>
      </c>
      <c r="O29" s="23">
        <v>511661.67821249343</v>
      </c>
      <c r="P29" s="21">
        <f t="shared" si="2"/>
        <v>2442.5323573252504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s="2" customFormat="1" x14ac:dyDescent="0.25">
      <c r="A30" s="6">
        <v>28</v>
      </c>
      <c r="B30" s="12" t="s">
        <v>20</v>
      </c>
      <c r="C30" s="6">
        <v>313</v>
      </c>
      <c r="D30" s="6">
        <v>3</v>
      </c>
      <c r="E30" s="6" t="s">
        <v>22</v>
      </c>
      <c r="F30" s="6" t="s">
        <v>23</v>
      </c>
      <c r="G30" s="7">
        <v>2</v>
      </c>
      <c r="H30" s="7" t="s">
        <v>28</v>
      </c>
      <c r="I30" s="8">
        <v>153.79</v>
      </c>
      <c r="J30" s="8">
        <v>35.11</v>
      </c>
      <c r="K30" s="8">
        <v>0</v>
      </c>
      <c r="L30" s="8">
        <v>0</v>
      </c>
      <c r="M30" s="8">
        <f t="shared" si="3"/>
        <v>0</v>
      </c>
      <c r="N30" s="13">
        <f t="shared" si="4"/>
        <v>188.89999999999998</v>
      </c>
      <c r="O30" s="22">
        <v>475319.35118517536</v>
      </c>
      <c r="P30" s="21">
        <f t="shared" si="2"/>
        <v>2516.2485504773713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s="2" customFormat="1" x14ac:dyDescent="0.25">
      <c r="A31" s="6">
        <v>29</v>
      </c>
      <c r="B31" s="12" t="s">
        <v>20</v>
      </c>
      <c r="C31" s="6">
        <v>314</v>
      </c>
      <c r="D31" s="6">
        <v>3</v>
      </c>
      <c r="E31" s="6" t="s">
        <v>22</v>
      </c>
      <c r="F31" s="6" t="s">
        <v>23</v>
      </c>
      <c r="G31" s="7">
        <v>2</v>
      </c>
      <c r="H31" s="7" t="s">
        <v>28</v>
      </c>
      <c r="I31" s="8">
        <v>153.79</v>
      </c>
      <c r="J31" s="8">
        <v>34.380000000000003</v>
      </c>
      <c r="K31" s="8">
        <v>0</v>
      </c>
      <c r="L31" s="8">
        <v>0</v>
      </c>
      <c r="M31" s="8">
        <f t="shared" si="3"/>
        <v>0</v>
      </c>
      <c r="N31" s="13">
        <f t="shared" si="4"/>
        <v>188.17</v>
      </c>
      <c r="O31" s="22">
        <v>474306.82345934387</v>
      </c>
      <c r="P31" s="21">
        <f t="shared" si="2"/>
        <v>2520.6293429310936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s="2" customFormat="1" x14ac:dyDescent="0.25">
      <c r="A32" s="6">
        <v>30</v>
      </c>
      <c r="B32" s="12" t="s">
        <v>20</v>
      </c>
      <c r="C32" s="6">
        <v>319</v>
      </c>
      <c r="D32" s="6">
        <v>3</v>
      </c>
      <c r="E32" s="6" t="s">
        <v>22</v>
      </c>
      <c r="F32" s="6" t="s">
        <v>32</v>
      </c>
      <c r="G32" s="7">
        <v>3</v>
      </c>
      <c r="H32" s="9" t="s">
        <v>29</v>
      </c>
      <c r="I32" s="8">
        <v>216.59</v>
      </c>
      <c r="J32" s="8">
        <v>45.83</v>
      </c>
      <c r="K32" s="8">
        <v>0</v>
      </c>
      <c r="L32" s="8">
        <v>0</v>
      </c>
      <c r="M32" s="8">
        <f t="shared" si="3"/>
        <v>0</v>
      </c>
      <c r="N32" s="13">
        <f t="shared" si="4"/>
        <v>262.42</v>
      </c>
      <c r="O32" s="23">
        <v>611745.97662373749</v>
      </c>
      <c r="P32" s="21">
        <f t="shared" si="2"/>
        <v>2331.1713155389734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s="2" customFormat="1" x14ac:dyDescent="0.25">
      <c r="A33" s="6">
        <v>31</v>
      </c>
      <c r="B33" s="12" t="s">
        <v>20</v>
      </c>
      <c r="C33" s="6">
        <v>320</v>
      </c>
      <c r="D33" s="6">
        <v>3</v>
      </c>
      <c r="E33" s="6" t="s">
        <v>22</v>
      </c>
      <c r="F33" s="6" t="s">
        <v>33</v>
      </c>
      <c r="G33" s="7">
        <v>3</v>
      </c>
      <c r="H33" s="9" t="s">
        <v>29</v>
      </c>
      <c r="I33" s="8">
        <v>215.39</v>
      </c>
      <c r="J33" s="8">
        <v>48.84</v>
      </c>
      <c r="K33" s="8">
        <v>0</v>
      </c>
      <c r="L33" s="8">
        <v>0</v>
      </c>
      <c r="M33" s="8">
        <f t="shared" si="3"/>
        <v>0</v>
      </c>
      <c r="N33" s="13">
        <f t="shared" si="4"/>
        <v>264.23</v>
      </c>
      <c r="O33" s="23">
        <v>612768.07604023768</v>
      </c>
      <c r="P33" s="21">
        <f t="shared" si="2"/>
        <v>2319.0707945359636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s="2" customFormat="1" x14ac:dyDescent="0.25">
      <c r="A34" s="6">
        <v>32</v>
      </c>
      <c r="B34" s="12" t="s">
        <v>20</v>
      </c>
      <c r="C34" s="6">
        <v>321</v>
      </c>
      <c r="D34" s="6">
        <v>3</v>
      </c>
      <c r="E34" s="6" t="s">
        <v>22</v>
      </c>
      <c r="F34" s="6" t="s">
        <v>32</v>
      </c>
      <c r="G34" s="7">
        <v>3</v>
      </c>
      <c r="H34" s="9" t="s">
        <v>29</v>
      </c>
      <c r="I34" s="8">
        <v>216.59</v>
      </c>
      <c r="J34" s="8">
        <v>45.33</v>
      </c>
      <c r="K34" s="8">
        <v>0</v>
      </c>
      <c r="L34" s="8">
        <v>0</v>
      </c>
      <c r="M34" s="8">
        <f t="shared" si="3"/>
        <v>0</v>
      </c>
      <c r="N34" s="13">
        <f t="shared" si="4"/>
        <v>261.92</v>
      </c>
      <c r="O34" s="23">
        <v>611107.42421708233</v>
      </c>
      <c r="P34" s="21">
        <f t="shared" si="2"/>
        <v>2333.1835072429835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s="2" customFormat="1" x14ac:dyDescent="0.25">
      <c r="A35" s="6">
        <v>33</v>
      </c>
      <c r="B35" s="12" t="s">
        <v>20</v>
      </c>
      <c r="C35" s="6">
        <v>322</v>
      </c>
      <c r="D35" s="6">
        <v>3</v>
      </c>
      <c r="E35" s="6" t="s">
        <v>22</v>
      </c>
      <c r="F35" s="6" t="s">
        <v>33</v>
      </c>
      <c r="G35" s="7">
        <v>3</v>
      </c>
      <c r="H35" s="9" t="s">
        <v>29</v>
      </c>
      <c r="I35" s="8">
        <v>215.39</v>
      </c>
      <c r="J35" s="8">
        <v>44.33</v>
      </c>
      <c r="K35" s="8">
        <v>0</v>
      </c>
      <c r="L35" s="8">
        <v>0</v>
      </c>
      <c r="M35" s="8">
        <f t="shared" si="3"/>
        <v>0</v>
      </c>
      <c r="N35" s="13">
        <f t="shared" si="4"/>
        <v>259.71999999999997</v>
      </c>
      <c r="O35" s="23">
        <v>607006.04772002285</v>
      </c>
      <c r="P35" s="21">
        <f t="shared" si="2"/>
        <v>2337.155581857473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s="2" customFormat="1" x14ac:dyDescent="0.25">
      <c r="A36" s="6">
        <v>34</v>
      </c>
      <c r="B36" s="12" t="s">
        <v>20</v>
      </c>
      <c r="C36" s="6">
        <v>323</v>
      </c>
      <c r="D36" s="6">
        <v>3</v>
      </c>
      <c r="E36" s="6" t="s">
        <v>22</v>
      </c>
      <c r="F36" s="6" t="s">
        <v>34</v>
      </c>
      <c r="G36" s="7">
        <v>3</v>
      </c>
      <c r="H36" s="9" t="s">
        <v>29</v>
      </c>
      <c r="I36" s="8">
        <v>213.83</v>
      </c>
      <c r="J36" s="8">
        <v>73.48</v>
      </c>
      <c r="K36" s="8">
        <v>0</v>
      </c>
      <c r="L36" s="8">
        <v>0</v>
      </c>
      <c r="M36" s="8">
        <f t="shared" si="3"/>
        <v>0</v>
      </c>
      <c r="N36" s="13">
        <f t="shared" si="4"/>
        <v>287.31</v>
      </c>
      <c r="O36" s="23">
        <v>667674.38681232615</v>
      </c>
      <c r="P36" s="21">
        <f t="shared" si="2"/>
        <v>2323.8814758007939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s="2" customFormat="1" x14ac:dyDescent="0.25">
      <c r="A37" s="6">
        <v>35</v>
      </c>
      <c r="B37" s="12" t="s">
        <v>20</v>
      </c>
      <c r="C37" s="6">
        <v>324</v>
      </c>
      <c r="D37" s="6">
        <v>3</v>
      </c>
      <c r="E37" s="6" t="s">
        <v>22</v>
      </c>
      <c r="F37" s="6">
        <v>2</v>
      </c>
      <c r="G37" s="7">
        <v>2</v>
      </c>
      <c r="H37" s="9" t="s">
        <v>29</v>
      </c>
      <c r="I37" s="8">
        <v>159.31</v>
      </c>
      <c r="J37" s="8">
        <v>36.090000000000003</v>
      </c>
      <c r="K37" s="8">
        <v>0</v>
      </c>
      <c r="L37" s="8">
        <v>0</v>
      </c>
      <c r="M37" s="8">
        <f t="shared" si="3"/>
        <v>0</v>
      </c>
      <c r="N37" s="13">
        <f t="shared" si="4"/>
        <v>195.4</v>
      </c>
      <c r="O37" s="23">
        <v>461203.4550430064</v>
      </c>
      <c r="P37" s="21">
        <f t="shared" si="2"/>
        <v>2360.304273505662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s="2" customFormat="1" x14ac:dyDescent="0.25">
      <c r="A38" s="6">
        <v>36</v>
      </c>
      <c r="B38" s="12" t="s">
        <v>20</v>
      </c>
      <c r="C38" s="6">
        <v>326</v>
      </c>
      <c r="D38" s="6">
        <v>3</v>
      </c>
      <c r="E38" s="6" t="s">
        <v>22</v>
      </c>
      <c r="F38" s="6">
        <v>2</v>
      </c>
      <c r="G38" s="7">
        <v>2</v>
      </c>
      <c r="H38" s="9" t="s">
        <v>29</v>
      </c>
      <c r="I38" s="8">
        <v>159.31</v>
      </c>
      <c r="J38" s="8">
        <v>41.44</v>
      </c>
      <c r="K38" s="8">
        <v>0</v>
      </c>
      <c r="L38" s="8">
        <v>0</v>
      </c>
      <c r="M38" s="8">
        <f t="shared" si="3"/>
        <v>0</v>
      </c>
      <c r="N38" s="13">
        <f t="shared" si="4"/>
        <v>200.75</v>
      </c>
      <c r="O38" s="23">
        <v>468159.66852579539</v>
      </c>
      <c r="P38" s="21">
        <f t="shared" si="2"/>
        <v>2332.0531433414467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s="2" customFormat="1" x14ac:dyDescent="0.25">
      <c r="N39" s="10"/>
      <c r="P39" s="11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50" spans="12:47" s="2" customFormat="1" x14ac:dyDescent="0.25">
      <c r="L50" s="2" t="s">
        <v>26</v>
      </c>
      <c r="N50" s="10"/>
      <c r="P50" s="11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</sheetData>
  <autoFilter ref="A2:P2" xr:uid="{0C7B6259-5082-4967-93DF-9126637D45D2}"/>
  <mergeCells count="4">
    <mergeCell ref="A1:H1"/>
    <mergeCell ref="K1:M1"/>
    <mergeCell ref="N1:N2"/>
    <mergeCell ref="O1:P1"/>
  </mergeCells>
  <pageMargins left="0.7" right="0.7" top="0.75" bottom="0.75" header="0.3" footer="0.3"/>
  <pageSetup paperSize="9" scale="60" orientation="landscape" r:id="rId1"/>
  <headerFooter>
    <oddFooter>&amp;L_x000D_&amp;1#&amp;"Aptos"&amp;10&amp;K000000 Sensitivity: FIUO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 Al Mouj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Lovelyn Vasquez</dc:creator>
  <cp:lastModifiedBy>Lovelyn Vasquez</cp:lastModifiedBy>
  <cp:lastPrinted>2026-08-30T10:36:27Z</cp:lastPrinted>
  <dcterms:created xsi:type="dcterms:W3CDTF">2025-04-10T11:45:52Z</dcterms:created>
  <dcterms:modified xsi:type="dcterms:W3CDTF">2026-08-30T10:36:29Z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71ff5b-dc6a-4a37-b63f-b55395f87eda_Enabled">
    <vt:lpwstr>true</vt:lpwstr>
  </property>
  <property fmtid="{D5CDD505-2E9C-101B-9397-08002B2CF9AE}" pid="3" name="MSIP_Label_5a71ff5b-dc6a-4a37-b63f-b55395f87eda_SetDate">
    <vt:lpwstr>2025-10-22T09:52:13Z</vt:lpwstr>
  </property>
  <property fmtid="{D5CDD505-2E9C-101B-9397-08002B2CF9AE}" pid="4" name="MSIP_Label_5a71ff5b-dc6a-4a37-b63f-b55395f87eda_Method">
    <vt:lpwstr>Standard</vt:lpwstr>
  </property>
  <property fmtid="{D5CDD505-2E9C-101B-9397-08002B2CF9AE}" pid="5" name="MSIP_Label_5a71ff5b-dc6a-4a37-b63f-b55395f87eda_Name">
    <vt:lpwstr>FIUO Documents</vt:lpwstr>
  </property>
  <property fmtid="{D5CDD505-2E9C-101B-9397-08002B2CF9AE}" pid="6" name="MSIP_Label_5a71ff5b-dc6a-4a37-b63f-b55395f87eda_SiteId">
    <vt:lpwstr>a6e325a2-6c07-41bd-b89d-60070d76143b</vt:lpwstr>
  </property>
  <property fmtid="{D5CDD505-2E9C-101B-9397-08002B2CF9AE}" pid="7" name="MSIP_Label_5a71ff5b-dc6a-4a37-b63f-b55395f87eda_ActionId">
    <vt:lpwstr>6095d07b-8ca2-45a1-a640-dfd05207694e</vt:lpwstr>
  </property>
  <property fmtid="{D5CDD505-2E9C-101B-9397-08002B2CF9AE}" pid="8" name="MSIP_Label_5a71ff5b-dc6a-4a37-b63f-b55395f87eda_ContentBits">
    <vt:lpwstr>2</vt:lpwstr>
  </property>
  <property fmtid="{D5CDD505-2E9C-101B-9397-08002B2CF9AE}" pid="9" name="MSIP_Label_5a71ff5b-dc6a-4a37-b63f-b55395f87eda_Tag">
    <vt:lpwstr>10, 3, 0, 1</vt:lpwstr>
  </property>
</Properties>
</file>